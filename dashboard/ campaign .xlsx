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rudhgupta/Documents/"/>
    </mc:Choice>
  </mc:AlternateContent>
  <xr:revisionPtr revIDLastSave="0" documentId="13_ncr:1_{B812A4BF-2BDF-A945-B2B4-515CC98F522E}" xr6:coauthVersionLast="47" xr6:coauthVersionMax="47" xr10:uidLastSave="{00000000-0000-0000-0000-000000000000}"/>
  <bookViews>
    <workbookView xWindow="0" yWindow="0" windowWidth="28800" windowHeight="18000" activeTab="2" xr2:uid="{1F887E44-29DB-3A4F-AA6F-F01D52FA0AD5}"/>
  </bookViews>
  <sheets>
    <sheet name="DASHBOARD" sheetId="17" r:id="rId1"/>
    <sheet name="Chart1" sheetId="18" r:id="rId2"/>
    <sheet name="Power bi data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6" l="1"/>
  <c r="N3" i="16"/>
  <c r="M3" i="16"/>
  <c r="L3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534C15-D210-9A42-9590-A33FBCEB6EDE}" keepAlive="1" name="Query - ad_events" description="Connection to the 'ad_events' query in the workbook." type="5" refreshedVersion="0" background="1">
    <dbPr connection="Provider=Microsoft.Mashup.OleDb.1;Data Source=$Workbook$;Location=ad_events;Extended Properties=&quot;&quot;" command="SELECT * FROM [ad_events]"/>
  </connection>
  <connection id="2" xr16:uid="{74CA22C4-74D4-394A-9C53-41B391E7CCA2}" keepAlive="1" name="Query - ad_events (2)" description="Connection to the 'ad_events (2)' query in the workbook." type="5" refreshedVersion="8" background="1" saveData="1">
    <dbPr connection="Provider=Microsoft.Mashup.OleDb.1;Data Source=$Workbook$;Location=&quot;ad_events (2)&quot;;Extended Properties=&quot;&quot;" command="SELECT * FROM [ad_events (2)]"/>
  </connection>
  <connection id="3" xr16:uid="{E4DCF918-56AE-304F-AA29-626C57810347}" keepAlive="1" name="Query - ad_events (3)" description="Connection to the 'ad_events (3)' query in the workbook." type="5" refreshedVersion="8" background="1" saveData="1">
    <dbPr connection="Provider=Microsoft.Mashup.OleDb.1;Data Source=$Workbook$;Location=&quot;ad_events (3)&quot;;Extended Properties=&quot;&quot;" command="SELECT * FROM [ad_events (3)]"/>
  </connection>
  <connection id="4" xr16:uid="{048B867A-AEEF-C446-8E26-215F7DD42766}" keepAlive="1" name="Query - ads" description="Connection to the 'ads' query in the workbook." type="5" refreshedVersion="8" background="1" saveData="1">
    <dbPr connection="Provider=Microsoft.Mashup.OleDb.1;Data Source=$Workbook$;Location=ads;Extended Properties=&quot;&quot;" command="SELECT * FROM [ads]"/>
  </connection>
</connections>
</file>

<file path=xl/sharedStrings.xml><?xml version="1.0" encoding="utf-8"?>
<sst xmlns="http://schemas.openxmlformats.org/spreadsheetml/2006/main" count="19" uniqueCount="18">
  <si>
    <t>Grand Total</t>
  </si>
  <si>
    <t>(blank)</t>
  </si>
  <si>
    <t>Sum of impressions</t>
  </si>
  <si>
    <t>Sum of clicks</t>
  </si>
  <si>
    <t>Sum of Engagement</t>
  </si>
  <si>
    <t>Sum of conversions</t>
  </si>
  <si>
    <t>CTR(%)</t>
  </si>
  <si>
    <t>Engagement Rate(%)</t>
  </si>
  <si>
    <t>Conversion Rate (%)</t>
  </si>
  <si>
    <t>Revenue</t>
  </si>
  <si>
    <t>Total Budget</t>
  </si>
  <si>
    <t>ROI(%)</t>
  </si>
  <si>
    <t/>
  </si>
  <si>
    <t>Total revenue</t>
  </si>
  <si>
    <t>Budget</t>
  </si>
  <si>
    <t>Average CTR</t>
  </si>
  <si>
    <t>Average ROI</t>
  </si>
  <si>
    <t>Campaign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</si>
</sst>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10" fontId="3" fillId="0" borderId="0" xfId="0" applyNumberFormat="1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10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 bi data'!$K$2</c:f>
              <c:strCache>
                <c:ptCount val="1"/>
                <c:pt idx="0">
                  <c:v>ROI(%)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'Power bi data'!$A$3:$A$52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(blank)</c:v>
                </c:pt>
                <c:pt idx="49">
                  <c:v>Grand Total</c:v>
                </c:pt>
              </c:strCache>
            </c:strRef>
          </c:cat>
          <c:val>
            <c:numRef>
              <c:f>'Power bi data'!$K$3:$K$52</c:f>
              <c:numCache>
                <c:formatCode>0.00%</c:formatCode>
                <c:ptCount val="50"/>
                <c:pt idx="0">
                  <c:v>130.0733794642079</c:v>
                </c:pt>
                <c:pt idx="1">
                  <c:v>-31.607488759359843</c:v>
                </c:pt>
                <c:pt idx="2">
                  <c:v>-40.038045129122224</c:v>
                </c:pt>
                <c:pt idx="3">
                  <c:v>-37.664973146960932</c:v>
                </c:pt>
                <c:pt idx="4">
                  <c:v>-22.276103170700644</c:v>
                </c:pt>
                <c:pt idx="5">
                  <c:v>-17.403341260109649</c:v>
                </c:pt>
                <c:pt idx="6">
                  <c:v>-17.693564160485579</c:v>
                </c:pt>
                <c:pt idx="7">
                  <c:v>138.95142015946703</c:v>
                </c:pt>
                <c:pt idx="8">
                  <c:v>-22.851128858724103</c:v>
                </c:pt>
                <c:pt idx="9">
                  <c:v>67.072609428464247</c:v>
                </c:pt>
                <c:pt idx="10">
                  <c:v>69.294390132973888</c:v>
                </c:pt>
                <c:pt idx="11">
                  <c:v>-59.849374930050082</c:v>
                </c:pt>
                <c:pt idx="12">
                  <c:v>-25.064892047195531</c:v>
                </c:pt>
                <c:pt idx="13">
                  <c:v>-69.240182165233904</c:v>
                </c:pt>
                <c:pt idx="14">
                  <c:v>-51.543635187258459</c:v>
                </c:pt>
                <c:pt idx="15">
                  <c:v>86.350883149600236</c:v>
                </c:pt>
                <c:pt idx="16">
                  <c:v>-36.713533810794559</c:v>
                </c:pt>
                <c:pt idx="17">
                  <c:v>-85.844954120463086</c:v>
                </c:pt>
                <c:pt idx="18">
                  <c:v>95.758686925813635</c:v>
                </c:pt>
                <c:pt idx="19">
                  <c:v>37.088245662136224</c:v>
                </c:pt>
                <c:pt idx="20">
                  <c:v>96.141247850618839</c:v>
                </c:pt>
                <c:pt idx="21">
                  <c:v>-25.91660997229458</c:v>
                </c:pt>
                <c:pt idx="22">
                  <c:v>53.625883799278121</c:v>
                </c:pt>
                <c:pt idx="23">
                  <c:v>16.751951722169864</c:v>
                </c:pt>
                <c:pt idx="24">
                  <c:v>184.91564186873862</c:v>
                </c:pt>
                <c:pt idx="25">
                  <c:v>0.47255592135008057</c:v>
                </c:pt>
                <c:pt idx="26">
                  <c:v>51.716981074823785</c:v>
                </c:pt>
                <c:pt idx="27">
                  <c:v>-21.527550121233162</c:v>
                </c:pt>
                <c:pt idx="28">
                  <c:v>-41.834973633239592</c:v>
                </c:pt>
                <c:pt idx="29">
                  <c:v>-48.620415335435901</c:v>
                </c:pt>
                <c:pt idx="30">
                  <c:v>-54.441667448470156</c:v>
                </c:pt>
                <c:pt idx="31">
                  <c:v>225.6168523959654</c:v>
                </c:pt>
                <c:pt idx="32">
                  <c:v>-5.0635076269604582</c:v>
                </c:pt>
                <c:pt idx="33">
                  <c:v>-81.293150112776786</c:v>
                </c:pt>
                <c:pt idx="34">
                  <c:v>-78.469249782539421</c:v>
                </c:pt>
                <c:pt idx="35">
                  <c:v>-19.761570803797611</c:v>
                </c:pt>
                <c:pt idx="36">
                  <c:v>72.543386573752059</c:v>
                </c:pt>
                <c:pt idx="37">
                  <c:v>-49.941050952408588</c:v>
                </c:pt>
                <c:pt idx="38">
                  <c:v>-55.409711412825693</c:v>
                </c:pt>
                <c:pt idx="39">
                  <c:v>342.02858283110464</c:v>
                </c:pt>
                <c:pt idx="40">
                  <c:v>-17.640131628279185</c:v>
                </c:pt>
                <c:pt idx="41">
                  <c:v>145.0538395852432</c:v>
                </c:pt>
                <c:pt idx="42">
                  <c:v>-64.355094548111708</c:v>
                </c:pt>
                <c:pt idx="43">
                  <c:v>-61.711805611687943</c:v>
                </c:pt>
                <c:pt idx="44">
                  <c:v>-9.3438567368162939</c:v>
                </c:pt>
                <c:pt idx="45">
                  <c:v>22.814001085097825</c:v>
                </c:pt>
                <c:pt idx="46">
                  <c:v>-37.850325629766104</c:v>
                </c:pt>
                <c:pt idx="47">
                  <c:v>-83.077629260471241</c:v>
                </c:pt>
                <c:pt idx="48">
                  <c:v>0</c:v>
                </c:pt>
                <c:pt idx="49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5-8B4B-ACD0-24997099A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31424"/>
        <c:axId val="125233664"/>
      </c:barChart>
      <c:catAx>
        <c:axId val="12523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33664"/>
        <c:crosses val="autoZero"/>
        <c:auto val="1"/>
        <c:lblAlgn val="ctr"/>
        <c:lblOffset val="100"/>
        <c:noMultiLvlLbl val="0"/>
      </c:catAx>
      <c:valAx>
        <c:axId val="12523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3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'Power bi data'!$F$2</c:f>
              <c:strCache>
                <c:ptCount val="1"/>
                <c:pt idx="0">
                  <c:v>CTR(%)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'Power bi data'!$A$3:$A$52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44</c:v>
                </c:pt>
                <c:pt idx="42">
                  <c:v>45</c:v>
                </c:pt>
                <c:pt idx="43">
                  <c:v>46</c:v>
                </c:pt>
                <c:pt idx="44">
                  <c:v>47</c:v>
                </c:pt>
                <c:pt idx="45">
                  <c:v>48</c:v>
                </c:pt>
                <c:pt idx="46">
                  <c:v>49</c:v>
                </c:pt>
                <c:pt idx="47">
                  <c:v>50</c:v>
                </c:pt>
                <c:pt idx="48">
                  <c:v>(blank)</c:v>
                </c:pt>
                <c:pt idx="49">
                  <c:v>Grand Total</c:v>
                </c:pt>
              </c:strCache>
            </c:strRef>
          </c:cat>
          <c:val>
            <c:numRef>
              <c:f>'Power bi data'!$F$3:$F$52</c:f>
              <c:numCache>
                <c:formatCode>General</c:formatCode>
                <c:ptCount val="50"/>
                <c:pt idx="0">
                  <c:v>11.456888007928642</c:v>
                </c:pt>
                <c:pt idx="1">
                  <c:v>11.398667935299715</c:v>
                </c:pt>
                <c:pt idx="2">
                  <c:v>11.66741171211444</c:v>
                </c:pt>
                <c:pt idx="3">
                  <c:v>11.493804273587667</c:v>
                </c:pt>
                <c:pt idx="4">
                  <c:v>11.429131542834739</c:v>
                </c:pt>
                <c:pt idx="5">
                  <c:v>11.169693419254052</c:v>
                </c:pt>
                <c:pt idx="6">
                  <c:v>12.09516193522591</c:v>
                </c:pt>
                <c:pt idx="7">
                  <c:v>11.70312867560574</c:v>
                </c:pt>
                <c:pt idx="8">
                  <c:v>11.824422314608913</c:v>
                </c:pt>
                <c:pt idx="9">
                  <c:v>11.454736526047141</c:v>
                </c:pt>
                <c:pt idx="10">
                  <c:v>12.12953876349362</c:v>
                </c:pt>
                <c:pt idx="11">
                  <c:v>12.932551319648095</c:v>
                </c:pt>
                <c:pt idx="12">
                  <c:v>11.7123221372568</c:v>
                </c:pt>
                <c:pt idx="13">
                  <c:v>11.409598551162087</c:v>
                </c:pt>
                <c:pt idx="14">
                  <c:v>11.858784504205664</c:v>
                </c:pt>
                <c:pt idx="15">
                  <c:v>12.187176069894862</c:v>
                </c:pt>
                <c:pt idx="16">
                  <c:v>11.803213648085698</c:v>
                </c:pt>
                <c:pt idx="17">
                  <c:v>12.348953728264073</c:v>
                </c:pt>
                <c:pt idx="18">
                  <c:v>12.18490482839715</c:v>
                </c:pt>
                <c:pt idx="19">
                  <c:v>12.072045251562965</c:v>
                </c:pt>
                <c:pt idx="20">
                  <c:v>12.733466463056503</c:v>
                </c:pt>
                <c:pt idx="21">
                  <c:v>12.073438435442027</c:v>
                </c:pt>
                <c:pt idx="22">
                  <c:v>11.533949259422203</c:v>
                </c:pt>
                <c:pt idx="23">
                  <c:v>11.516270482344796</c:v>
                </c:pt>
                <c:pt idx="24">
                  <c:v>11.007025761124121</c:v>
                </c:pt>
                <c:pt idx="25">
                  <c:v>11.826662654228107</c:v>
                </c:pt>
                <c:pt idx="26">
                  <c:v>11.835701771461943</c:v>
                </c:pt>
                <c:pt idx="27">
                  <c:v>12.16678058783322</c:v>
                </c:pt>
                <c:pt idx="28">
                  <c:v>12.330383480825958</c:v>
                </c:pt>
                <c:pt idx="29">
                  <c:v>11.69811320754717</c:v>
                </c:pt>
                <c:pt idx="30">
                  <c:v>11.548442906574396</c:v>
                </c:pt>
                <c:pt idx="31">
                  <c:v>11.600099642946111</c:v>
                </c:pt>
                <c:pt idx="32">
                  <c:v>12.160705536501714</c:v>
                </c:pt>
                <c:pt idx="33">
                  <c:v>11.803084223013048</c:v>
                </c:pt>
                <c:pt idx="34">
                  <c:v>11.945093457943926</c:v>
                </c:pt>
                <c:pt idx="35">
                  <c:v>11.503472561870293</c:v>
                </c:pt>
                <c:pt idx="36">
                  <c:v>11.865921787709498</c:v>
                </c:pt>
                <c:pt idx="37">
                  <c:v>12.378922898101511</c:v>
                </c:pt>
                <c:pt idx="38">
                  <c:v>12.309303021238408</c:v>
                </c:pt>
                <c:pt idx="39">
                  <c:v>11.711188540456833</c:v>
                </c:pt>
                <c:pt idx="40">
                  <c:v>11.674347158218126</c:v>
                </c:pt>
                <c:pt idx="41">
                  <c:v>11.735146319834467</c:v>
                </c:pt>
                <c:pt idx="42">
                  <c:v>10.52946455279689</c:v>
                </c:pt>
                <c:pt idx="43">
                  <c:v>11.330280615240108</c:v>
                </c:pt>
                <c:pt idx="44">
                  <c:v>11.658232775398988</c:v>
                </c:pt>
                <c:pt idx="45">
                  <c:v>11.869436201780417</c:v>
                </c:pt>
                <c:pt idx="46">
                  <c:v>11.137026239067055</c:v>
                </c:pt>
                <c:pt idx="47">
                  <c:v>10.48623315758641</c:v>
                </c:pt>
                <c:pt idx="48">
                  <c:v>11.79446282061846</c:v>
                </c:pt>
                <c:pt idx="49">
                  <c:v>11.79446282061846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9-1F4B-B9CD-47CF1A9F0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028544"/>
        <c:axId val="125040640"/>
        <c:axId val="0"/>
      </c:bar3DChart>
      <c:catAx>
        <c:axId val="12502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40640"/>
        <c:crosses val="autoZero"/>
        <c:auto val="1"/>
        <c:lblAlgn val="ctr"/>
        <c:lblOffset val="100"/>
        <c:noMultiLvlLbl val="0"/>
      </c:catAx>
      <c:valAx>
        <c:axId val="1250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5263744"/>
        <c:axId val="125265536"/>
      </c:barChart>
      <c:catAx>
        <c:axId val="12526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5536"/>
        <c:crosses val="autoZero"/>
        <c:auto val="1"/>
        <c:lblAlgn val="ctr"/>
        <c:lblOffset val="100"/>
        <c:noMultiLvlLbl val="0"/>
      </c:catAx>
      <c:valAx>
        <c:axId val="1252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'Power bi data'!$I$2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'Power bi data'!$I$3:$I$52</c:f>
              <c:numCache>
                <c:formatCode>General</c:formatCode>
                <c:ptCount val="50"/>
                <c:pt idx="0">
                  <c:v>33000</c:v>
                </c:pt>
                <c:pt idx="1">
                  <c:v>31000</c:v>
                </c:pt>
                <c:pt idx="2">
                  <c:v>41000</c:v>
                </c:pt>
                <c:pt idx="3">
                  <c:v>49000</c:v>
                </c:pt>
                <c:pt idx="4">
                  <c:v>34000</c:v>
                </c:pt>
                <c:pt idx="5">
                  <c:v>33000</c:v>
                </c:pt>
                <c:pt idx="6">
                  <c:v>33000</c:v>
                </c:pt>
                <c:pt idx="7">
                  <c:v>47000</c:v>
                </c:pt>
                <c:pt idx="8">
                  <c:v>61000</c:v>
                </c:pt>
                <c:pt idx="9">
                  <c:v>51000</c:v>
                </c:pt>
                <c:pt idx="10">
                  <c:v>37000</c:v>
                </c:pt>
                <c:pt idx="11">
                  <c:v>16000</c:v>
                </c:pt>
                <c:pt idx="12">
                  <c:v>64000</c:v>
                </c:pt>
                <c:pt idx="13">
                  <c:v>22000</c:v>
                </c:pt>
                <c:pt idx="14">
                  <c:v>42000</c:v>
                </c:pt>
                <c:pt idx="15">
                  <c:v>91000</c:v>
                </c:pt>
                <c:pt idx="16">
                  <c:v>21000</c:v>
                </c:pt>
                <c:pt idx="17">
                  <c:v>14000</c:v>
                </c:pt>
                <c:pt idx="18">
                  <c:v>73000</c:v>
                </c:pt>
                <c:pt idx="19">
                  <c:v>49000</c:v>
                </c:pt>
                <c:pt idx="20">
                  <c:v>51000</c:v>
                </c:pt>
                <c:pt idx="21">
                  <c:v>42000</c:v>
                </c:pt>
                <c:pt idx="22">
                  <c:v>81000</c:v>
                </c:pt>
                <c:pt idx="23">
                  <c:v>52000</c:v>
                </c:pt>
                <c:pt idx="24">
                  <c:v>37000</c:v>
                </c:pt>
                <c:pt idx="25">
                  <c:v>33000</c:v>
                </c:pt>
                <c:pt idx="26">
                  <c:v>30000</c:v>
                </c:pt>
                <c:pt idx="27">
                  <c:v>58000</c:v>
                </c:pt>
                <c:pt idx="28">
                  <c:v>42000</c:v>
                </c:pt>
                <c:pt idx="29">
                  <c:v>42000</c:v>
                </c:pt>
                <c:pt idx="30">
                  <c:v>27000</c:v>
                </c:pt>
                <c:pt idx="31">
                  <c:v>85000</c:v>
                </c:pt>
                <c:pt idx="32">
                  <c:v>68000</c:v>
                </c:pt>
                <c:pt idx="33">
                  <c:v>11000</c:v>
                </c:pt>
                <c:pt idx="34">
                  <c:v>10000</c:v>
                </c:pt>
                <c:pt idx="35">
                  <c:v>57000</c:v>
                </c:pt>
                <c:pt idx="36">
                  <c:v>96000</c:v>
                </c:pt>
                <c:pt idx="37">
                  <c:v>27000</c:v>
                </c:pt>
                <c:pt idx="38">
                  <c:v>38000</c:v>
                </c:pt>
                <c:pt idx="39">
                  <c:v>35000</c:v>
                </c:pt>
                <c:pt idx="40">
                  <c:v>67000</c:v>
                </c:pt>
                <c:pt idx="41">
                  <c:v>39000</c:v>
                </c:pt>
                <c:pt idx="42">
                  <c:v>19000</c:v>
                </c:pt>
                <c:pt idx="43">
                  <c:v>36000</c:v>
                </c:pt>
                <c:pt idx="44">
                  <c:v>63000</c:v>
                </c:pt>
                <c:pt idx="45">
                  <c:v>17000</c:v>
                </c:pt>
                <c:pt idx="46">
                  <c:v>18000</c:v>
                </c:pt>
                <c:pt idx="47">
                  <c:v>8000</c:v>
                </c:pt>
                <c:pt idx="48">
                  <c:v>2031000</c:v>
                </c:pt>
                <c:pt idx="49">
                  <c:v>4062000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8-AB41-A8DB-490A5B374E29}"/>
            </c:ext>
          </c:extLst>
        </c:ser>
        <c:ser>
          <c:idx val="1"/>
          <c:order val="1"/>
          <c:tx>
            <c:strRef>
              <c:f>'Power bi data'!$J$2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'Power bi data'!$J$3:$J$52</c:f>
              <c:numCache>
                <c:formatCode>General</c:formatCode>
                <c:ptCount val="50"/>
                <c:pt idx="0">
                  <c:v>14343.25</c:v>
                </c:pt>
                <c:pt idx="1">
                  <c:v>45326.6</c:v>
                </c:pt>
                <c:pt idx="2">
                  <c:v>68376.69</c:v>
                </c:pt>
                <c:pt idx="3">
                  <c:v>78607.490000000005</c:v>
                </c:pt>
                <c:pt idx="4">
                  <c:v>43744.59</c:v>
                </c:pt>
                <c:pt idx="5">
                  <c:v>39953.19</c:v>
                </c:pt>
                <c:pt idx="6">
                  <c:v>40094.07</c:v>
                </c:pt>
                <c:pt idx="7">
                  <c:v>19669.27</c:v>
                </c:pt>
                <c:pt idx="8">
                  <c:v>79067.91</c:v>
                </c:pt>
                <c:pt idx="9">
                  <c:v>30525.65</c:v>
                </c:pt>
                <c:pt idx="10">
                  <c:v>21855.42</c:v>
                </c:pt>
                <c:pt idx="11">
                  <c:v>39849.94</c:v>
                </c:pt>
                <c:pt idx="12">
                  <c:v>85407.23</c:v>
                </c:pt>
                <c:pt idx="13">
                  <c:v>71521.88</c:v>
                </c:pt>
                <c:pt idx="14">
                  <c:v>86675.92</c:v>
                </c:pt>
                <c:pt idx="15">
                  <c:v>48832.61</c:v>
                </c:pt>
                <c:pt idx="16">
                  <c:v>33182.449999999997</c:v>
                </c:pt>
                <c:pt idx="17">
                  <c:v>98904.66</c:v>
                </c:pt>
                <c:pt idx="18">
                  <c:v>37290.81</c:v>
                </c:pt>
                <c:pt idx="19">
                  <c:v>35743.4</c:v>
                </c:pt>
                <c:pt idx="20">
                  <c:v>26001.67</c:v>
                </c:pt>
                <c:pt idx="21">
                  <c:v>56692.87</c:v>
                </c:pt>
                <c:pt idx="22">
                  <c:v>52725.49</c:v>
                </c:pt>
                <c:pt idx="23">
                  <c:v>44538.87</c:v>
                </c:pt>
                <c:pt idx="24">
                  <c:v>12986.3</c:v>
                </c:pt>
                <c:pt idx="25">
                  <c:v>32844.79</c:v>
                </c:pt>
                <c:pt idx="26">
                  <c:v>19773.66</c:v>
                </c:pt>
                <c:pt idx="27">
                  <c:v>73911.289999999994</c:v>
                </c:pt>
                <c:pt idx="28">
                  <c:v>72208.34</c:v>
                </c:pt>
                <c:pt idx="29">
                  <c:v>81744.53</c:v>
                </c:pt>
                <c:pt idx="30">
                  <c:v>59264.68</c:v>
                </c:pt>
                <c:pt idx="31">
                  <c:v>26104.3</c:v>
                </c:pt>
                <c:pt idx="32">
                  <c:v>71626.83</c:v>
                </c:pt>
                <c:pt idx="33">
                  <c:v>58801.99</c:v>
                </c:pt>
                <c:pt idx="34">
                  <c:v>46445.2</c:v>
                </c:pt>
                <c:pt idx="35">
                  <c:v>71038.28</c:v>
                </c:pt>
                <c:pt idx="36">
                  <c:v>55638.18</c:v>
                </c:pt>
                <c:pt idx="37">
                  <c:v>53936.41</c:v>
                </c:pt>
                <c:pt idx="38">
                  <c:v>85220.35</c:v>
                </c:pt>
                <c:pt idx="39">
                  <c:v>7918.04</c:v>
                </c:pt>
                <c:pt idx="40">
                  <c:v>81350.3</c:v>
                </c:pt>
                <c:pt idx="41">
                  <c:v>15914.87</c:v>
                </c:pt>
                <c:pt idx="42">
                  <c:v>53303.55</c:v>
                </c:pt>
                <c:pt idx="43">
                  <c:v>94023.76</c:v>
                </c:pt>
                <c:pt idx="44">
                  <c:v>69493.36</c:v>
                </c:pt>
                <c:pt idx="45">
                  <c:v>13842.07</c:v>
                </c:pt>
                <c:pt idx="46">
                  <c:v>28962.34</c:v>
                </c:pt>
                <c:pt idx="47">
                  <c:v>47274.7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58-AB41-A8DB-490A5B374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96192"/>
        <c:axId val="129703808"/>
      </c:barChart>
      <c:catAx>
        <c:axId val="129696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3808"/>
        <c:crosses val="autoZero"/>
        <c:auto val="1"/>
        <c:lblAlgn val="ctr"/>
        <c:lblOffset val="100"/>
        <c:noMultiLvlLbl val="0"/>
      </c:catAx>
      <c:valAx>
        <c:axId val="1297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9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290630805980714"/>
          <c:y val="0.70737422989490328"/>
          <c:w val="0.34167772567754873"/>
          <c:h val="7.0903857606034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B2F2AEE-F4FA-B543-B78F-BA93A9D922F1}">
  <sheetPr/>
  <sheetViews>
    <sheetView zoomScale="13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7F8756-A014-F84C-B63B-752FBC533755}">
  <sheetPr/>
  <sheetViews>
    <sheetView zoomScale="13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0150" cy="6073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2FCF9-9C5F-055D-4684-22F7F0189B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0150" cy="6073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E443FA-AF2A-DAC6-F0A6-B3DEF985D99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1250950</xdr:colOff>
      <xdr:row>12</xdr:row>
      <xdr:rowOff>165100</xdr:rowOff>
    </xdr:from>
    <xdr:to>
      <xdr:col>10</xdr:col>
      <xdr:colOff>717550</xdr:colOff>
      <xdr:row>26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72663-A3FE-14E5-FA3C-8F14BD8CE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203200</xdr:colOff>
      <xdr:row>9</xdr:row>
      <xdr:rowOff>38100</xdr:rowOff>
    </xdr:from>
    <xdr:to>
      <xdr:col>10</xdr:col>
      <xdr:colOff>127000</xdr:colOff>
      <xdr:row>24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3D032F-884E-29A3-1243-926C78BC1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0224-BF24-3847-95ED-921738528B61}">
  <dimension ref="A2:O52"/>
  <sheetViews>
    <sheetView tabSelected="1" workbookViewId="0">
      <selection activeCell="L7" sqref="L7"/>
    </sheetView>
  </sheetViews>
  <sheetFormatPr baseColWidth="10" defaultRowHeight="16" x14ac:dyDescent="0.2"/>
  <cols>
    <col min="5" max="5" width="17.5" customWidth="1"/>
    <col min="7" max="7" width="21.5" customWidth="1"/>
    <col min="8" max="8" width="20.83203125" customWidth="1"/>
    <col min="9" max="9" width="13.83203125" customWidth="1"/>
    <col min="11" max="11" width="20.5" customWidth="1"/>
    <col min="12" max="12" width="16.33203125" customWidth="1"/>
    <col min="13" max="13" width="12" customWidth="1"/>
    <col min="14" max="14" width="13.5" customWidth="1"/>
  </cols>
  <sheetData>
    <row r="2" spans="1:15" x14ac:dyDescent="0.2">
      <c r="A2" s="6" t="s">
        <v>17</v>
      </c>
      <c r="B2" s="7" t="s">
        <v>5</v>
      </c>
      <c r="C2" s="7" t="s">
        <v>4</v>
      </c>
      <c r="D2" s="7" t="s">
        <v>3</v>
      </c>
      <c r="E2" s="7" t="s">
        <v>2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14</v>
      </c>
      <c r="K2" s="8" t="s">
        <v>11</v>
      </c>
      <c r="L2" s="7" t="s">
        <v>13</v>
      </c>
      <c r="M2" s="9" t="s">
        <v>10</v>
      </c>
      <c r="N2" s="9" t="s">
        <v>15</v>
      </c>
      <c r="O2" s="9" t="s">
        <v>16</v>
      </c>
    </row>
    <row r="3" spans="1:15" x14ac:dyDescent="0.2">
      <c r="A3" s="1">
        <v>1</v>
      </c>
      <c r="B3" s="2">
        <v>33</v>
      </c>
      <c r="C3" s="2">
        <v>213</v>
      </c>
      <c r="D3" s="2">
        <v>578</v>
      </c>
      <c r="E3" s="2">
        <v>5045</v>
      </c>
      <c r="F3" s="2">
        <v>11.456888007928642</v>
      </c>
      <c r="G3" s="2">
        <v>4.2220019821605552</v>
      </c>
      <c r="H3" s="2">
        <v>5.7093425605536332</v>
      </c>
      <c r="I3" s="2">
        <v>33000</v>
      </c>
      <c r="J3" s="2">
        <v>14343.25</v>
      </c>
      <c r="K3" s="3">
        <v>130.0733794642079</v>
      </c>
      <c r="L3">
        <f>SUM(I:I)</f>
        <v>8124000</v>
      </c>
      <c r="M3">
        <f>SUM(J:J)</f>
        <v>2432560.0499999998</v>
      </c>
      <c r="N3">
        <f>AVERAGE(F:F)</f>
        <v>11.757785089705587</v>
      </c>
      <c r="O3">
        <f>AVERAGE(K:K)</f>
        <v>11.712937963900679</v>
      </c>
    </row>
    <row r="4" spans="1:15" x14ac:dyDescent="0.2">
      <c r="A4" s="1">
        <v>2</v>
      </c>
      <c r="B4" s="2">
        <v>31</v>
      </c>
      <c r="C4" s="2">
        <v>197</v>
      </c>
      <c r="D4" s="2">
        <v>599</v>
      </c>
      <c r="E4" s="2">
        <v>5255</v>
      </c>
      <c r="F4" s="2">
        <v>11.398667935299715</v>
      </c>
      <c r="G4" s="2">
        <v>3.7488106565176023</v>
      </c>
      <c r="H4" s="2">
        <v>5.1752921535893153</v>
      </c>
      <c r="I4" s="2">
        <v>31000</v>
      </c>
      <c r="J4" s="2">
        <v>45326.6</v>
      </c>
      <c r="K4" s="3">
        <v>-31.607488759359843</v>
      </c>
    </row>
    <row r="5" spans="1:15" x14ac:dyDescent="0.2">
      <c r="A5" s="1">
        <v>3</v>
      </c>
      <c r="B5" s="2">
        <v>41</v>
      </c>
      <c r="C5" s="2">
        <v>281</v>
      </c>
      <c r="D5" s="2">
        <v>783</v>
      </c>
      <c r="E5" s="2">
        <v>6711</v>
      </c>
      <c r="F5" s="2">
        <v>11.66741171211444</v>
      </c>
      <c r="G5" s="2">
        <v>4.1871554164804055</v>
      </c>
      <c r="H5" s="2">
        <v>5.2362707535121329</v>
      </c>
      <c r="I5" s="2">
        <v>41000</v>
      </c>
      <c r="J5" s="2">
        <v>68376.69</v>
      </c>
      <c r="K5" s="3">
        <v>-40.038045129122224</v>
      </c>
    </row>
    <row r="6" spans="1:15" x14ac:dyDescent="0.2">
      <c r="A6" s="1">
        <v>4</v>
      </c>
      <c r="B6" s="2">
        <v>49</v>
      </c>
      <c r="C6" s="2">
        <v>430</v>
      </c>
      <c r="D6" s="2">
        <v>1178</v>
      </c>
      <c r="E6" s="2">
        <v>10249</v>
      </c>
      <c r="F6" s="2">
        <v>11.493804273587667</v>
      </c>
      <c r="G6" s="2">
        <v>4.1955312713435458</v>
      </c>
      <c r="H6" s="2">
        <v>4.1595925297113752</v>
      </c>
      <c r="I6" s="2">
        <v>49000</v>
      </c>
      <c r="J6" s="2">
        <v>78607.490000000005</v>
      </c>
      <c r="K6" s="3">
        <v>-37.664973146960932</v>
      </c>
    </row>
    <row r="7" spans="1:15" x14ac:dyDescent="0.2">
      <c r="A7" s="1">
        <v>5</v>
      </c>
      <c r="B7" s="2">
        <v>34</v>
      </c>
      <c r="C7" s="2">
        <v>246</v>
      </c>
      <c r="D7" s="2">
        <v>583</v>
      </c>
      <c r="E7" s="2">
        <v>5101</v>
      </c>
      <c r="F7" s="2">
        <v>11.429131542834739</v>
      </c>
      <c r="G7" s="2">
        <v>4.8225838070966471</v>
      </c>
      <c r="H7" s="2">
        <v>5.8319039451114927</v>
      </c>
      <c r="I7" s="2">
        <v>34000</v>
      </c>
      <c r="J7" s="2">
        <v>43744.59</v>
      </c>
      <c r="K7" s="3">
        <v>-22.276103170700644</v>
      </c>
    </row>
    <row r="8" spans="1:15" x14ac:dyDescent="0.2">
      <c r="A8" s="1">
        <v>6</v>
      </c>
      <c r="B8" s="2">
        <v>33</v>
      </c>
      <c r="C8" s="2">
        <v>226</v>
      </c>
      <c r="D8" s="2">
        <v>572</v>
      </c>
      <c r="E8" s="2">
        <v>5121</v>
      </c>
      <c r="F8" s="2">
        <v>11.169693419254052</v>
      </c>
      <c r="G8" s="2">
        <v>4.4132005467682101</v>
      </c>
      <c r="H8" s="2">
        <v>5.7692307692307692</v>
      </c>
      <c r="I8" s="2">
        <v>33000</v>
      </c>
      <c r="J8" s="2">
        <v>39953.19</v>
      </c>
      <c r="K8" s="3">
        <v>-17.403341260109649</v>
      </c>
    </row>
    <row r="9" spans="1:15" x14ac:dyDescent="0.2">
      <c r="A9" s="1">
        <v>7</v>
      </c>
      <c r="B9" s="2">
        <v>33</v>
      </c>
      <c r="C9" s="2">
        <v>216</v>
      </c>
      <c r="D9" s="2">
        <v>605</v>
      </c>
      <c r="E9" s="2">
        <v>5002</v>
      </c>
      <c r="F9" s="2">
        <v>12.09516193522591</v>
      </c>
      <c r="G9" s="2">
        <v>4.3182726909236306</v>
      </c>
      <c r="H9" s="2">
        <v>5.4545454545454541</v>
      </c>
      <c r="I9" s="2">
        <v>33000</v>
      </c>
      <c r="J9" s="2">
        <v>40094.07</v>
      </c>
      <c r="K9" s="3">
        <v>-17.693564160485579</v>
      </c>
    </row>
    <row r="10" spans="1:15" x14ac:dyDescent="0.2">
      <c r="A10" s="1">
        <v>8</v>
      </c>
      <c r="B10" s="2">
        <v>47</v>
      </c>
      <c r="C10" s="2">
        <v>362</v>
      </c>
      <c r="D10" s="2">
        <v>995</v>
      </c>
      <c r="E10" s="2">
        <v>8502</v>
      </c>
      <c r="F10" s="2">
        <v>11.70312867560574</v>
      </c>
      <c r="G10" s="2">
        <v>4.2578216890143494</v>
      </c>
      <c r="H10" s="2">
        <v>4.7236180904522609</v>
      </c>
      <c r="I10" s="2">
        <v>47000</v>
      </c>
      <c r="J10" s="2">
        <v>19669.27</v>
      </c>
      <c r="K10" s="3">
        <v>138.95142015946703</v>
      </c>
    </row>
    <row r="11" spans="1:15" x14ac:dyDescent="0.2">
      <c r="A11" s="1">
        <v>9</v>
      </c>
      <c r="B11" s="2">
        <v>61</v>
      </c>
      <c r="C11" s="2">
        <v>389</v>
      </c>
      <c r="D11" s="2">
        <v>1223</v>
      </c>
      <c r="E11" s="2">
        <v>10343</v>
      </c>
      <c r="F11" s="2">
        <v>11.824422314608913</v>
      </c>
      <c r="G11" s="2">
        <v>3.7609977762738085</v>
      </c>
      <c r="H11" s="2">
        <v>4.9877350776778417</v>
      </c>
      <c r="I11" s="2">
        <v>61000</v>
      </c>
      <c r="J11" s="2">
        <v>79067.91</v>
      </c>
      <c r="K11" s="3">
        <v>-22.851128858724103</v>
      </c>
    </row>
    <row r="12" spans="1:15" x14ac:dyDescent="0.2">
      <c r="A12" s="1">
        <v>10</v>
      </c>
      <c r="B12" s="2">
        <v>51</v>
      </c>
      <c r="C12" s="2">
        <v>269</v>
      </c>
      <c r="D12" s="2">
        <v>763</v>
      </c>
      <c r="E12" s="2">
        <v>6661</v>
      </c>
      <c r="F12" s="2">
        <v>11.454736526047141</v>
      </c>
      <c r="G12" s="2">
        <v>4.0384326677676023</v>
      </c>
      <c r="H12" s="2">
        <v>6.6841415465268668</v>
      </c>
      <c r="I12" s="2">
        <v>51000</v>
      </c>
      <c r="J12" s="2">
        <v>30525.65</v>
      </c>
      <c r="K12" s="3">
        <v>67.072609428464247</v>
      </c>
    </row>
    <row r="13" spans="1:15" x14ac:dyDescent="0.2">
      <c r="A13" s="1">
        <v>11</v>
      </c>
      <c r="B13" s="2">
        <v>37</v>
      </c>
      <c r="C13" s="2">
        <v>203</v>
      </c>
      <c r="D13" s="2">
        <v>618</v>
      </c>
      <c r="E13" s="2">
        <v>5095</v>
      </c>
      <c r="F13" s="2">
        <v>12.12953876349362</v>
      </c>
      <c r="G13" s="2">
        <v>3.9842983316977429</v>
      </c>
      <c r="H13" s="2">
        <v>5.9870550161812295</v>
      </c>
      <c r="I13" s="2">
        <v>37000</v>
      </c>
      <c r="J13" s="2">
        <v>21855.42</v>
      </c>
      <c r="K13" s="3">
        <v>69.294390132973888</v>
      </c>
    </row>
    <row r="14" spans="1:15" x14ac:dyDescent="0.2">
      <c r="A14" s="1">
        <v>12</v>
      </c>
      <c r="B14" s="2">
        <v>16</v>
      </c>
      <c r="C14" s="2">
        <v>136</v>
      </c>
      <c r="D14" s="2">
        <v>441</v>
      </c>
      <c r="E14" s="2">
        <v>3410</v>
      </c>
      <c r="F14" s="2">
        <v>12.932551319648095</v>
      </c>
      <c r="G14" s="2">
        <v>3.9882697947214081</v>
      </c>
      <c r="H14" s="2">
        <v>3.6281179138321997</v>
      </c>
      <c r="I14" s="2">
        <v>16000</v>
      </c>
      <c r="J14" s="2">
        <v>39849.94</v>
      </c>
      <c r="K14" s="3">
        <v>-59.849374930050082</v>
      </c>
    </row>
    <row r="15" spans="1:15" x14ac:dyDescent="0.2">
      <c r="A15" s="1">
        <v>13</v>
      </c>
      <c r="B15" s="2">
        <v>64</v>
      </c>
      <c r="C15" s="2">
        <v>436</v>
      </c>
      <c r="D15" s="2">
        <v>1210</v>
      </c>
      <c r="E15" s="2">
        <v>10331</v>
      </c>
      <c r="F15" s="2">
        <v>11.7123221372568</v>
      </c>
      <c r="G15" s="2">
        <v>4.2203078114412929</v>
      </c>
      <c r="H15" s="2">
        <v>5.2892561983471076</v>
      </c>
      <c r="I15" s="2">
        <v>64000</v>
      </c>
      <c r="J15" s="2">
        <v>85407.23</v>
      </c>
      <c r="K15" s="3">
        <v>-25.064892047195531</v>
      </c>
    </row>
    <row r="16" spans="1:15" x14ac:dyDescent="0.2">
      <c r="A16" s="1">
        <v>14</v>
      </c>
      <c r="B16" s="2">
        <v>22</v>
      </c>
      <c r="C16" s="2">
        <v>139</v>
      </c>
      <c r="D16" s="2">
        <v>378</v>
      </c>
      <c r="E16" s="2">
        <v>3313</v>
      </c>
      <c r="F16" s="2">
        <v>11.409598551162087</v>
      </c>
      <c r="G16" s="2">
        <v>4.1955931180199215</v>
      </c>
      <c r="H16" s="2">
        <v>5.8201058201058196</v>
      </c>
      <c r="I16" s="2">
        <v>22000</v>
      </c>
      <c r="J16" s="2">
        <v>71521.88</v>
      </c>
      <c r="K16" s="3">
        <v>-69.240182165233904</v>
      </c>
    </row>
    <row r="17" spans="1:11" x14ac:dyDescent="0.2">
      <c r="A17" s="1">
        <v>15</v>
      </c>
      <c r="B17" s="2">
        <v>42</v>
      </c>
      <c r="C17" s="2">
        <v>339</v>
      </c>
      <c r="D17" s="2">
        <v>1001</v>
      </c>
      <c r="E17" s="2">
        <v>8441</v>
      </c>
      <c r="F17" s="2">
        <v>11.858784504205664</v>
      </c>
      <c r="G17" s="2">
        <v>4.0161118350906291</v>
      </c>
      <c r="H17" s="2">
        <v>4.1958041958041958</v>
      </c>
      <c r="I17" s="2">
        <v>42000</v>
      </c>
      <c r="J17" s="2">
        <v>86675.92</v>
      </c>
      <c r="K17" s="3">
        <v>-51.543635187258459</v>
      </c>
    </row>
    <row r="18" spans="1:11" x14ac:dyDescent="0.2">
      <c r="A18" s="1">
        <v>17</v>
      </c>
      <c r="B18" s="2">
        <v>91</v>
      </c>
      <c r="C18" s="2">
        <v>561</v>
      </c>
      <c r="D18" s="2">
        <v>1646</v>
      </c>
      <c r="E18" s="2">
        <v>13506</v>
      </c>
      <c r="F18" s="2">
        <v>12.187176069894862</v>
      </c>
      <c r="G18" s="2">
        <v>4.1537094624611282</v>
      </c>
      <c r="H18" s="2">
        <v>5.5285540704738763</v>
      </c>
      <c r="I18" s="2">
        <v>91000</v>
      </c>
      <c r="J18" s="2">
        <v>48832.61</v>
      </c>
      <c r="K18" s="3">
        <v>86.350883149600236</v>
      </c>
    </row>
    <row r="19" spans="1:11" x14ac:dyDescent="0.2">
      <c r="A19" s="1">
        <v>18</v>
      </c>
      <c r="B19" s="2">
        <v>21</v>
      </c>
      <c r="C19" s="2">
        <v>215</v>
      </c>
      <c r="D19" s="2">
        <v>595</v>
      </c>
      <c r="E19" s="2">
        <v>5041</v>
      </c>
      <c r="F19" s="2">
        <v>11.803213648085698</v>
      </c>
      <c r="G19" s="2">
        <v>4.2650267804007145</v>
      </c>
      <c r="H19" s="2">
        <v>3.5294117647058822</v>
      </c>
      <c r="I19" s="2">
        <v>21000</v>
      </c>
      <c r="J19" s="2">
        <v>33182.449999999997</v>
      </c>
      <c r="K19" s="3">
        <v>-36.713533810794559</v>
      </c>
    </row>
    <row r="20" spans="1:11" x14ac:dyDescent="0.2">
      <c r="A20" s="1">
        <v>19</v>
      </c>
      <c r="B20" s="2">
        <v>14</v>
      </c>
      <c r="C20" s="2">
        <v>132</v>
      </c>
      <c r="D20" s="2">
        <v>419</v>
      </c>
      <c r="E20" s="2">
        <v>3393</v>
      </c>
      <c r="F20" s="2">
        <v>12.348953728264073</v>
      </c>
      <c r="G20" s="2">
        <v>3.8903625110521665</v>
      </c>
      <c r="H20" s="2">
        <v>3.3412887828162292</v>
      </c>
      <c r="I20" s="2">
        <v>14000</v>
      </c>
      <c r="J20" s="2">
        <v>98904.66</v>
      </c>
      <c r="K20" s="3">
        <v>-85.844954120463086</v>
      </c>
    </row>
    <row r="21" spans="1:11" x14ac:dyDescent="0.2">
      <c r="A21" s="1">
        <v>20</v>
      </c>
      <c r="B21" s="2">
        <v>73</v>
      </c>
      <c r="C21" s="2">
        <v>531</v>
      </c>
      <c r="D21" s="2">
        <v>1658</v>
      </c>
      <c r="E21" s="2">
        <v>13607</v>
      </c>
      <c r="F21" s="2">
        <v>12.18490482839715</v>
      </c>
      <c r="G21" s="2">
        <v>3.9024031748364814</v>
      </c>
      <c r="H21" s="2">
        <v>4.4028950542822676</v>
      </c>
      <c r="I21" s="2">
        <v>73000</v>
      </c>
      <c r="J21" s="2">
        <v>37290.81</v>
      </c>
      <c r="K21" s="3">
        <v>95.758686925813635</v>
      </c>
    </row>
    <row r="22" spans="1:11" x14ac:dyDescent="0.2">
      <c r="A22" s="1">
        <v>21</v>
      </c>
      <c r="B22" s="2">
        <v>49</v>
      </c>
      <c r="C22" s="2">
        <v>280</v>
      </c>
      <c r="D22" s="2">
        <v>811</v>
      </c>
      <c r="E22" s="2">
        <v>6718</v>
      </c>
      <c r="F22" s="2">
        <v>12.072045251562965</v>
      </c>
      <c r="G22" s="2">
        <v>4.1679071152128611</v>
      </c>
      <c r="H22" s="2">
        <v>6.0419235511713936</v>
      </c>
      <c r="I22" s="2">
        <v>49000</v>
      </c>
      <c r="J22" s="2">
        <v>35743.4</v>
      </c>
      <c r="K22" s="3">
        <v>37.088245662136224</v>
      </c>
    </row>
    <row r="23" spans="1:11" x14ac:dyDescent="0.2">
      <c r="A23" s="1">
        <v>22</v>
      </c>
      <c r="B23" s="2">
        <v>51</v>
      </c>
      <c r="C23" s="2">
        <v>371</v>
      </c>
      <c r="D23" s="2">
        <v>1084</v>
      </c>
      <c r="E23" s="2">
        <v>8513</v>
      </c>
      <c r="F23" s="2">
        <v>12.733466463056503</v>
      </c>
      <c r="G23" s="2">
        <v>4.3580406437213668</v>
      </c>
      <c r="H23" s="2">
        <v>4.7047970479704802</v>
      </c>
      <c r="I23" s="2">
        <v>51000</v>
      </c>
      <c r="J23" s="2">
        <v>26001.67</v>
      </c>
      <c r="K23" s="3">
        <v>96.141247850618839</v>
      </c>
    </row>
    <row r="24" spans="1:11" x14ac:dyDescent="0.2">
      <c r="A24" s="1">
        <v>23</v>
      </c>
      <c r="B24" s="2">
        <v>42</v>
      </c>
      <c r="C24" s="2">
        <v>216</v>
      </c>
      <c r="D24" s="2">
        <v>605</v>
      </c>
      <c r="E24" s="2">
        <v>5011</v>
      </c>
      <c r="F24" s="2">
        <v>12.073438435442027</v>
      </c>
      <c r="G24" s="2">
        <v>4.3105168629016166</v>
      </c>
      <c r="H24" s="2">
        <v>6.9421487603305785</v>
      </c>
      <c r="I24" s="2">
        <v>42000</v>
      </c>
      <c r="J24" s="2">
        <v>56692.87</v>
      </c>
      <c r="K24" s="3">
        <v>-25.91660997229458</v>
      </c>
    </row>
    <row r="25" spans="1:11" x14ac:dyDescent="0.2">
      <c r="A25" s="1">
        <v>24</v>
      </c>
      <c r="B25" s="2">
        <v>81</v>
      </c>
      <c r="C25" s="2">
        <v>538</v>
      </c>
      <c r="D25" s="2">
        <v>1573</v>
      </c>
      <c r="E25" s="2">
        <v>13638</v>
      </c>
      <c r="F25" s="2">
        <v>11.533949259422203</v>
      </c>
      <c r="G25" s="2">
        <v>3.9448599501393162</v>
      </c>
      <c r="H25" s="2">
        <v>5.1493960584869676</v>
      </c>
      <c r="I25" s="2">
        <v>81000</v>
      </c>
      <c r="J25" s="2">
        <v>52725.49</v>
      </c>
      <c r="K25" s="3">
        <v>53.625883799278121</v>
      </c>
    </row>
    <row r="26" spans="1:11" x14ac:dyDescent="0.2">
      <c r="A26" s="1">
        <v>25</v>
      </c>
      <c r="B26" s="2">
        <v>52</v>
      </c>
      <c r="C26" s="2">
        <v>362</v>
      </c>
      <c r="D26" s="2">
        <v>998</v>
      </c>
      <c r="E26" s="2">
        <v>8666</v>
      </c>
      <c r="F26" s="2">
        <v>11.516270482344796</v>
      </c>
      <c r="G26" s="2">
        <v>4.1772444034156475</v>
      </c>
      <c r="H26" s="2">
        <v>5.2104208416833666</v>
      </c>
      <c r="I26" s="2">
        <v>52000</v>
      </c>
      <c r="J26" s="2">
        <v>44538.87</v>
      </c>
      <c r="K26" s="3">
        <v>16.751951722169864</v>
      </c>
    </row>
    <row r="27" spans="1:11" x14ac:dyDescent="0.2">
      <c r="A27" s="1">
        <v>26</v>
      </c>
      <c r="B27" s="2">
        <v>37</v>
      </c>
      <c r="C27" s="2">
        <v>227</v>
      </c>
      <c r="D27" s="2">
        <v>564</v>
      </c>
      <c r="E27" s="2">
        <v>5124</v>
      </c>
      <c r="F27" s="2">
        <v>11.007025761124121</v>
      </c>
      <c r="G27" s="2">
        <v>4.4301327088212332</v>
      </c>
      <c r="H27" s="2">
        <v>6.5602836879432624</v>
      </c>
      <c r="I27" s="2">
        <v>37000</v>
      </c>
      <c r="J27" s="2">
        <v>12986.3</v>
      </c>
      <c r="K27" s="3">
        <v>184.91564186873862</v>
      </c>
    </row>
    <row r="28" spans="1:11" x14ac:dyDescent="0.2">
      <c r="A28" s="1">
        <v>27</v>
      </c>
      <c r="B28" s="2">
        <v>33</v>
      </c>
      <c r="C28" s="2">
        <v>150</v>
      </c>
      <c r="D28" s="2">
        <v>393</v>
      </c>
      <c r="E28" s="2">
        <v>3323</v>
      </c>
      <c r="F28" s="2">
        <v>11.826662654228107</v>
      </c>
      <c r="G28" s="2">
        <v>4.5139933794763767</v>
      </c>
      <c r="H28" s="2">
        <v>8.3969465648854964</v>
      </c>
      <c r="I28" s="2">
        <v>33000</v>
      </c>
      <c r="J28" s="2">
        <v>32844.79</v>
      </c>
      <c r="K28" s="3">
        <v>0.47255592135008057</v>
      </c>
    </row>
    <row r="29" spans="1:11" x14ac:dyDescent="0.2">
      <c r="A29" s="1">
        <v>28</v>
      </c>
      <c r="B29" s="2">
        <v>30</v>
      </c>
      <c r="C29" s="2">
        <v>189</v>
      </c>
      <c r="D29" s="2">
        <v>608</v>
      </c>
      <c r="E29" s="2">
        <v>5137</v>
      </c>
      <c r="F29" s="2">
        <v>11.835701771461943</v>
      </c>
      <c r="G29" s="2">
        <v>3.6791901888261633</v>
      </c>
      <c r="H29" s="2">
        <v>4.9342105263157894</v>
      </c>
      <c r="I29" s="2">
        <v>30000</v>
      </c>
      <c r="J29" s="2">
        <v>19773.66</v>
      </c>
      <c r="K29" s="3">
        <v>51.716981074823785</v>
      </c>
    </row>
    <row r="30" spans="1:11" x14ac:dyDescent="0.2">
      <c r="A30" s="1">
        <v>29</v>
      </c>
      <c r="B30" s="2">
        <v>58</v>
      </c>
      <c r="C30" s="2">
        <v>480</v>
      </c>
      <c r="D30" s="2">
        <v>1424</v>
      </c>
      <c r="E30" s="2">
        <v>11704</v>
      </c>
      <c r="F30" s="2">
        <v>12.16678058783322</v>
      </c>
      <c r="G30" s="2">
        <v>4.1011619958988383</v>
      </c>
      <c r="H30" s="2">
        <v>4.0730337078651688</v>
      </c>
      <c r="I30" s="2">
        <v>58000</v>
      </c>
      <c r="J30" s="2">
        <v>73911.289999999994</v>
      </c>
      <c r="K30" s="3">
        <v>-21.527550121233162</v>
      </c>
    </row>
    <row r="31" spans="1:11" x14ac:dyDescent="0.2">
      <c r="A31" s="1">
        <v>30</v>
      </c>
      <c r="B31" s="2">
        <v>42</v>
      </c>
      <c r="C31" s="2">
        <v>270</v>
      </c>
      <c r="D31" s="2">
        <v>836</v>
      </c>
      <c r="E31" s="2">
        <v>6780</v>
      </c>
      <c r="F31" s="2">
        <v>12.330383480825958</v>
      </c>
      <c r="G31" s="2">
        <v>3.9823008849557522</v>
      </c>
      <c r="H31" s="2">
        <v>5.0239234449760763</v>
      </c>
      <c r="I31" s="2">
        <v>42000</v>
      </c>
      <c r="J31" s="2">
        <v>72208.34</v>
      </c>
      <c r="K31" s="3">
        <v>-41.834973633239592</v>
      </c>
    </row>
    <row r="32" spans="1:11" x14ac:dyDescent="0.2">
      <c r="A32" s="1">
        <v>31</v>
      </c>
      <c r="B32" s="2">
        <v>42</v>
      </c>
      <c r="C32" s="2">
        <v>213</v>
      </c>
      <c r="D32" s="2">
        <v>589</v>
      </c>
      <c r="E32" s="2">
        <v>5035</v>
      </c>
      <c r="F32" s="2">
        <v>11.69811320754717</v>
      </c>
      <c r="G32" s="2">
        <v>4.2303872889771599</v>
      </c>
      <c r="H32" s="2">
        <v>7.1307300509337868</v>
      </c>
      <c r="I32" s="2">
        <v>42000</v>
      </c>
      <c r="J32" s="2">
        <v>81744.53</v>
      </c>
      <c r="K32" s="3">
        <v>-48.620415335435901</v>
      </c>
    </row>
    <row r="33" spans="1:11" x14ac:dyDescent="0.2">
      <c r="A33" s="1">
        <v>32</v>
      </c>
      <c r="B33" s="2">
        <v>27</v>
      </c>
      <c r="C33" s="2">
        <v>272</v>
      </c>
      <c r="D33" s="2">
        <v>801</v>
      </c>
      <c r="E33" s="2">
        <v>6936</v>
      </c>
      <c r="F33" s="2">
        <v>11.548442906574396</v>
      </c>
      <c r="G33" s="2">
        <v>3.9215686274509802</v>
      </c>
      <c r="H33" s="2">
        <v>3.3707865168539324</v>
      </c>
      <c r="I33" s="2">
        <v>27000</v>
      </c>
      <c r="J33" s="2">
        <v>59264.68</v>
      </c>
      <c r="K33" s="3">
        <v>-54.441667448470156</v>
      </c>
    </row>
    <row r="34" spans="1:11" x14ac:dyDescent="0.2">
      <c r="A34" s="1">
        <v>33</v>
      </c>
      <c r="B34" s="2">
        <v>85</v>
      </c>
      <c r="C34" s="2">
        <v>484</v>
      </c>
      <c r="D34" s="2">
        <v>1397</v>
      </c>
      <c r="E34" s="2">
        <v>12043</v>
      </c>
      <c r="F34" s="2">
        <v>11.600099642946111</v>
      </c>
      <c r="G34" s="2">
        <v>4.0189321597608565</v>
      </c>
      <c r="H34" s="2">
        <v>6.0844667143879736</v>
      </c>
      <c r="I34" s="2">
        <v>85000</v>
      </c>
      <c r="J34" s="2">
        <v>26104.3</v>
      </c>
      <c r="K34" s="3">
        <v>225.6168523959654</v>
      </c>
    </row>
    <row r="35" spans="1:11" x14ac:dyDescent="0.2">
      <c r="A35" s="1">
        <v>34</v>
      </c>
      <c r="B35" s="2">
        <v>68</v>
      </c>
      <c r="C35" s="2">
        <v>402</v>
      </c>
      <c r="D35" s="2">
        <v>1241</v>
      </c>
      <c r="E35" s="2">
        <v>10205</v>
      </c>
      <c r="F35" s="2">
        <v>12.160705536501714</v>
      </c>
      <c r="G35" s="2">
        <v>3.9392454679078885</v>
      </c>
      <c r="H35" s="2">
        <v>5.4794520547945202</v>
      </c>
      <c r="I35" s="2">
        <v>68000</v>
      </c>
      <c r="J35" s="2">
        <v>71626.83</v>
      </c>
      <c r="K35" s="3">
        <v>-5.0635076269604582</v>
      </c>
    </row>
    <row r="36" spans="1:11" x14ac:dyDescent="0.2">
      <c r="A36" s="1">
        <v>35</v>
      </c>
      <c r="B36" s="2">
        <v>11</v>
      </c>
      <c r="C36" s="2">
        <v>53</v>
      </c>
      <c r="D36" s="2">
        <v>199</v>
      </c>
      <c r="E36" s="2">
        <v>1686</v>
      </c>
      <c r="F36" s="2">
        <v>11.803084223013048</v>
      </c>
      <c r="G36" s="2">
        <v>3.1435349940688022</v>
      </c>
      <c r="H36" s="2">
        <v>5.5276381909547743</v>
      </c>
      <c r="I36" s="2">
        <v>11000</v>
      </c>
      <c r="J36" s="2">
        <v>58801.99</v>
      </c>
      <c r="K36" s="3">
        <v>-81.293150112776786</v>
      </c>
    </row>
    <row r="37" spans="1:11" x14ac:dyDescent="0.2">
      <c r="A37" s="1">
        <v>36</v>
      </c>
      <c r="B37" s="2">
        <v>10</v>
      </c>
      <c r="C37" s="2">
        <v>131</v>
      </c>
      <c r="D37" s="2">
        <v>409</v>
      </c>
      <c r="E37" s="2">
        <v>3424</v>
      </c>
      <c r="F37" s="2">
        <v>11.945093457943926</v>
      </c>
      <c r="G37" s="2">
        <v>3.8259345794392523</v>
      </c>
      <c r="H37" s="2">
        <v>2.4449877750611249</v>
      </c>
      <c r="I37" s="2">
        <v>10000</v>
      </c>
      <c r="J37" s="2">
        <v>46445.2</v>
      </c>
      <c r="K37" s="3">
        <v>-78.469249782539421</v>
      </c>
    </row>
    <row r="38" spans="1:11" x14ac:dyDescent="0.2">
      <c r="A38" s="1">
        <v>37</v>
      </c>
      <c r="B38" s="2">
        <v>57</v>
      </c>
      <c r="C38" s="2">
        <v>413</v>
      </c>
      <c r="D38" s="2">
        <v>1176</v>
      </c>
      <c r="E38" s="2">
        <v>10223</v>
      </c>
      <c r="F38" s="2">
        <v>11.503472561870293</v>
      </c>
      <c r="G38" s="2">
        <v>4.0399100068473057</v>
      </c>
      <c r="H38" s="2">
        <v>4.8469387755102042</v>
      </c>
      <c r="I38" s="2">
        <v>57000</v>
      </c>
      <c r="J38" s="2">
        <v>71038.28</v>
      </c>
      <c r="K38" s="3">
        <v>-19.761570803797611</v>
      </c>
    </row>
    <row r="39" spans="1:11" x14ac:dyDescent="0.2">
      <c r="A39" s="1">
        <v>38</v>
      </c>
      <c r="B39" s="2">
        <v>96</v>
      </c>
      <c r="C39" s="2">
        <v>584</v>
      </c>
      <c r="D39" s="2">
        <v>1593</v>
      </c>
      <c r="E39" s="2">
        <v>13425</v>
      </c>
      <c r="F39" s="2">
        <v>11.865921787709498</v>
      </c>
      <c r="G39" s="2">
        <v>4.350093109869646</v>
      </c>
      <c r="H39" s="2">
        <v>6.0263653483992465</v>
      </c>
      <c r="I39" s="2">
        <v>96000</v>
      </c>
      <c r="J39" s="2">
        <v>55638.18</v>
      </c>
      <c r="K39" s="3">
        <v>72.543386573752059</v>
      </c>
    </row>
    <row r="40" spans="1:11" x14ac:dyDescent="0.2">
      <c r="A40" s="1">
        <v>39</v>
      </c>
      <c r="B40" s="2">
        <v>27</v>
      </c>
      <c r="C40" s="2">
        <v>210</v>
      </c>
      <c r="D40" s="2">
        <v>639</v>
      </c>
      <c r="E40" s="2">
        <v>5162</v>
      </c>
      <c r="F40" s="2">
        <v>12.378922898101511</v>
      </c>
      <c r="G40" s="2">
        <v>4.0681906237892296</v>
      </c>
      <c r="H40" s="2">
        <v>4.225352112676056</v>
      </c>
      <c r="I40" s="2">
        <v>27000</v>
      </c>
      <c r="J40" s="2">
        <v>53936.41</v>
      </c>
      <c r="K40" s="3">
        <v>-49.941050952408588</v>
      </c>
    </row>
    <row r="41" spans="1:11" x14ac:dyDescent="0.2">
      <c r="A41" s="1">
        <v>40</v>
      </c>
      <c r="B41" s="2">
        <v>38</v>
      </c>
      <c r="C41" s="2">
        <v>308</v>
      </c>
      <c r="D41" s="2">
        <v>823</v>
      </c>
      <c r="E41" s="2">
        <v>6686</v>
      </c>
      <c r="F41" s="2">
        <v>12.309303021238408</v>
      </c>
      <c r="G41" s="2">
        <v>4.606640741848639</v>
      </c>
      <c r="H41" s="2">
        <v>4.6172539489671935</v>
      </c>
      <c r="I41" s="2">
        <v>38000</v>
      </c>
      <c r="J41" s="2">
        <v>85220.35</v>
      </c>
      <c r="K41" s="3">
        <v>-55.409711412825693</v>
      </c>
    </row>
    <row r="42" spans="1:11" x14ac:dyDescent="0.2">
      <c r="A42" s="1">
        <v>41</v>
      </c>
      <c r="B42" s="2">
        <v>35</v>
      </c>
      <c r="C42" s="2">
        <v>185</v>
      </c>
      <c r="D42" s="2">
        <v>605</v>
      </c>
      <c r="E42" s="2">
        <v>5166</v>
      </c>
      <c r="F42" s="2">
        <v>11.711188540456833</v>
      </c>
      <c r="G42" s="2">
        <v>3.581107239643825</v>
      </c>
      <c r="H42" s="2">
        <v>5.785123966942149</v>
      </c>
      <c r="I42" s="2">
        <v>35000</v>
      </c>
      <c r="J42" s="2">
        <v>7918.04</v>
      </c>
      <c r="K42" s="3">
        <v>342.02858283110464</v>
      </c>
    </row>
    <row r="43" spans="1:11" x14ac:dyDescent="0.2">
      <c r="A43" s="1">
        <v>42</v>
      </c>
      <c r="B43" s="2">
        <v>67</v>
      </c>
      <c r="C43" s="2">
        <v>539</v>
      </c>
      <c r="D43" s="2">
        <v>1596</v>
      </c>
      <c r="E43" s="2">
        <v>13671</v>
      </c>
      <c r="F43" s="2">
        <v>11.674347158218126</v>
      </c>
      <c r="G43" s="2">
        <v>3.9426523297491038</v>
      </c>
      <c r="H43" s="2">
        <v>4.1979949874686717</v>
      </c>
      <c r="I43" s="2">
        <v>67000</v>
      </c>
      <c r="J43" s="2">
        <v>81350.3</v>
      </c>
      <c r="K43" s="3">
        <v>-17.640131628279185</v>
      </c>
    </row>
    <row r="44" spans="1:11" x14ac:dyDescent="0.2">
      <c r="A44" s="1">
        <v>44</v>
      </c>
      <c r="B44" s="2">
        <v>39</v>
      </c>
      <c r="C44" s="2">
        <v>290</v>
      </c>
      <c r="D44" s="2">
        <v>794</v>
      </c>
      <c r="E44" s="2">
        <v>6766</v>
      </c>
      <c r="F44" s="2">
        <v>11.735146319834467</v>
      </c>
      <c r="G44" s="2">
        <v>4.2861365651788352</v>
      </c>
      <c r="H44" s="2">
        <v>4.9118387909319896</v>
      </c>
      <c r="I44" s="2">
        <v>39000</v>
      </c>
      <c r="J44" s="2">
        <v>15914.87</v>
      </c>
      <c r="K44" s="3">
        <v>145.0538395852432</v>
      </c>
    </row>
    <row r="45" spans="1:11" x14ac:dyDescent="0.2">
      <c r="A45" s="1">
        <v>45</v>
      </c>
      <c r="B45" s="2">
        <v>19</v>
      </c>
      <c r="C45" s="2">
        <v>130</v>
      </c>
      <c r="D45" s="2">
        <v>352</v>
      </c>
      <c r="E45" s="2">
        <v>3343</v>
      </c>
      <c r="F45" s="2">
        <v>10.52946455279689</v>
      </c>
      <c r="G45" s="2">
        <v>3.8887227041579417</v>
      </c>
      <c r="H45" s="2">
        <v>5.3977272727272725</v>
      </c>
      <c r="I45" s="2">
        <v>19000</v>
      </c>
      <c r="J45" s="2">
        <v>53303.55</v>
      </c>
      <c r="K45" s="3">
        <v>-64.355094548111708</v>
      </c>
    </row>
    <row r="46" spans="1:11" x14ac:dyDescent="0.2">
      <c r="A46" s="1">
        <v>46</v>
      </c>
      <c r="B46" s="2">
        <v>36</v>
      </c>
      <c r="C46" s="2">
        <v>366</v>
      </c>
      <c r="D46" s="2">
        <v>965</v>
      </c>
      <c r="E46" s="2">
        <v>8517</v>
      </c>
      <c r="F46" s="2">
        <v>11.330280615240108</v>
      </c>
      <c r="G46" s="2">
        <v>4.2972877773864031</v>
      </c>
      <c r="H46" s="2">
        <v>3.730569948186528</v>
      </c>
      <c r="I46" s="2">
        <v>36000</v>
      </c>
      <c r="J46" s="2">
        <v>94023.76</v>
      </c>
      <c r="K46" s="3">
        <v>-61.711805611687943</v>
      </c>
    </row>
    <row r="47" spans="1:11" x14ac:dyDescent="0.2">
      <c r="A47" s="1">
        <v>47</v>
      </c>
      <c r="B47" s="2">
        <v>63</v>
      </c>
      <c r="C47" s="2">
        <v>420</v>
      </c>
      <c r="D47" s="2">
        <v>1198</v>
      </c>
      <c r="E47" s="2">
        <v>10276</v>
      </c>
      <c r="F47" s="2">
        <v>11.658232775398988</v>
      </c>
      <c r="G47" s="2">
        <v>4.0871934604904636</v>
      </c>
      <c r="H47" s="2">
        <v>5.2587646076794652</v>
      </c>
      <c r="I47" s="2">
        <v>63000</v>
      </c>
      <c r="J47" s="2">
        <v>69493.36</v>
      </c>
      <c r="K47" s="3">
        <v>-9.3438567368162939</v>
      </c>
    </row>
    <row r="48" spans="1:11" x14ac:dyDescent="0.2">
      <c r="A48" s="1">
        <v>48</v>
      </c>
      <c r="B48" s="2">
        <v>17</v>
      </c>
      <c r="C48" s="2">
        <v>132</v>
      </c>
      <c r="D48" s="2">
        <v>400</v>
      </c>
      <c r="E48" s="2">
        <v>3370</v>
      </c>
      <c r="F48" s="2">
        <v>11.869436201780417</v>
      </c>
      <c r="G48" s="2">
        <v>3.9169139465875373</v>
      </c>
      <c r="H48" s="2">
        <v>4.25</v>
      </c>
      <c r="I48" s="2">
        <v>17000</v>
      </c>
      <c r="J48" s="2">
        <v>13842.07</v>
      </c>
      <c r="K48" s="3">
        <v>22.814001085097825</v>
      </c>
    </row>
    <row r="49" spans="1:11" x14ac:dyDescent="0.2">
      <c r="A49" s="1">
        <v>49</v>
      </c>
      <c r="B49" s="2">
        <v>18</v>
      </c>
      <c r="C49" s="2">
        <v>136</v>
      </c>
      <c r="D49" s="2">
        <v>382</v>
      </c>
      <c r="E49" s="2">
        <v>3430</v>
      </c>
      <c r="F49" s="2">
        <v>11.137026239067055</v>
      </c>
      <c r="G49" s="2">
        <v>3.9650145772594749</v>
      </c>
      <c r="H49" s="2">
        <v>4.7120418848167542</v>
      </c>
      <c r="I49" s="2">
        <v>18000</v>
      </c>
      <c r="J49" s="2">
        <v>28962.34</v>
      </c>
      <c r="K49" s="3">
        <v>-37.850325629766104</v>
      </c>
    </row>
    <row r="50" spans="1:11" x14ac:dyDescent="0.2">
      <c r="A50" s="1">
        <v>50</v>
      </c>
      <c r="B50" s="2">
        <v>8</v>
      </c>
      <c r="C50" s="2">
        <v>98</v>
      </c>
      <c r="D50" s="2">
        <v>179</v>
      </c>
      <c r="E50" s="2">
        <v>1707</v>
      </c>
      <c r="F50" s="2">
        <v>10.48623315758641</v>
      </c>
      <c r="G50" s="2">
        <v>5.7410661980082018</v>
      </c>
      <c r="H50" s="2">
        <v>4.4692737430167595</v>
      </c>
      <c r="I50" s="2">
        <v>8000</v>
      </c>
      <c r="J50" s="2">
        <v>47274.7</v>
      </c>
      <c r="K50" s="3">
        <v>-83.077629260471241</v>
      </c>
    </row>
    <row r="51" spans="1:11" x14ac:dyDescent="0.2">
      <c r="A51" s="4" t="s">
        <v>1</v>
      </c>
      <c r="B51" s="5">
        <v>2031</v>
      </c>
      <c r="C51" s="5">
        <v>13970</v>
      </c>
      <c r="D51" s="5">
        <v>40079</v>
      </c>
      <c r="E51" s="5">
        <v>339812</v>
      </c>
      <c r="F51" s="2">
        <v>11.79446282061846</v>
      </c>
      <c r="G51" s="2">
        <v>4.1110967240709568</v>
      </c>
      <c r="H51" s="2">
        <v>5.0674917038848273</v>
      </c>
      <c r="I51" s="2">
        <v>2031000</v>
      </c>
      <c r="J51" s="2"/>
      <c r="K51" s="3" t="s">
        <v>12</v>
      </c>
    </row>
    <row r="52" spans="1:11" x14ac:dyDescent="0.2">
      <c r="A52" t="s">
        <v>0</v>
      </c>
      <c r="B52">
        <v>4062</v>
      </c>
      <c r="C52">
        <v>27940</v>
      </c>
      <c r="D52">
        <v>80158</v>
      </c>
      <c r="E52">
        <v>679624</v>
      </c>
      <c r="F52">
        <v>11.79446282061846</v>
      </c>
      <c r="G52">
        <v>4.1110967240709568</v>
      </c>
      <c r="H52">
        <v>5.0674917038848273</v>
      </c>
      <c r="I52">
        <v>4062000</v>
      </c>
      <c r="K52" t="s">
        <v>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4E43D-EB27-1A43-A00B-F5A6E0245F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Power bi data</vt:lpstr>
      <vt:lpstr>DASHBOARD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GUPTA - 245890018 - MITBLR</dc:creator>
  <cp:lastModifiedBy>ANIRUDH GUPTA - 245890018 - MITBLR</cp:lastModifiedBy>
  <dcterms:created xsi:type="dcterms:W3CDTF">2026-01-10T06:57:51Z</dcterms:created>
  <dcterms:modified xsi:type="dcterms:W3CDTF">2026-01-11T09:44:02Z</dcterms:modified>
</cp:coreProperties>
</file>